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bcc4d8158fa5588/5. LINKEDIN/1. Post 2026/5. Aplicación web de análisis de EEFF 19.01.26/"/>
    </mc:Choice>
  </mc:AlternateContent>
  <xr:revisionPtr revIDLastSave="5" documentId="8_{5A2C3C97-7B77-4A23-A1E9-D3D809854CEC}" xr6:coauthVersionLast="47" xr6:coauthVersionMax="47" xr10:uidLastSave="{C26DFACE-41AB-4BA6-AFE0-2D83DEE9DB01}"/>
  <bookViews>
    <workbookView xWindow="-108" yWindow="-108" windowWidth="23256" windowHeight="12456" tabRatio="905" xr2:uid="{BBA2DB07-47EE-4656-AE8C-C09556CDDBE9}"/>
  </bookViews>
  <sheets>
    <sheet name="BALANCE" sheetId="5" r:id="rId1"/>
    <sheet name="ESTADO_RESULTADOS" sheetId="4" r:id="rId2"/>
  </sheets>
  <definedNames>
    <definedName name="___thinkcellREMAAAAAAAAAAAAA0GAP8yQ35UCs3f58Q1YN9w" hidden="1">#REF!</definedName>
    <definedName name="___thinkcellREMAAAAAAAAAAAAA0k4ooOTih0.ERp6zjp3HcA" hidden="1">#REF!</definedName>
    <definedName name="___thinkcellREMAAAAAAAAAAAAA2Vb6oH58zE6H57cEEMx9ow" hidden="1">#REF!</definedName>
    <definedName name="___thinkcellREMAAAAAAAAAAAAA3x3vfrzglUa.MFk9j9dtwQ" hidden="1">#REF!</definedName>
    <definedName name="___thinkcellREMAAAAAAAAAAAAA41qGdgrZXUGZ.Gmkd.i4yQ" hidden="1">#REF!</definedName>
    <definedName name="___thinkcellREMAAAAAAAAAAAAA46rn9b_HhUeh7BesMEC.VQ" hidden="1">#REF!</definedName>
    <definedName name="___thinkcellREMAAAAAAAAAAAAA7KDkWwubOEWN_vQanWLoGA" hidden="1">#REF!</definedName>
    <definedName name="___thinkcellREMAAAAAAAAAAAAA7NkOeNMVGUmVOByANzbEBA" hidden="1">#REF!</definedName>
    <definedName name="___thinkcellREMAAAAAAAAAAAAA84OdSJ..sUKN5oI1li4Mhw" hidden="1">#REF!</definedName>
    <definedName name="___thinkcellREMAAAAAAAAAAAAA9S.OUVt3tEKj2wcALdFuwg" hidden="1">#REF!</definedName>
    <definedName name="___thinkcellREMAAAAAAAAAAAAAa78qShcer0a7J_yBaElSHQ" hidden="1">#REF!</definedName>
    <definedName name="___thinkcellREMAAAAAAAAAAAAAafjkStf.2EWU3vyqEUcJPA" hidden="1">#REF!</definedName>
    <definedName name="___thinkcellREMAAAAAAAAAAAAAAICk7oxdW0O9t7Q4dcwZ9Q" hidden="1">#REF!</definedName>
    <definedName name="___thinkcellREMAAAAAAAAAAAAAAsqX2Dy4402alUAHvMme7Q" hidden="1">#REF!</definedName>
    <definedName name="___thinkcellREMAAAAAAAAAAAAAeXdfHz0U60uxSp7XHI07rg" hidden="1">#REF!</definedName>
    <definedName name="___thinkcellREMAAAAAAAAAAAAAHPRht9Amx0uIIlSInG6jCg" hidden="1">#REF!</definedName>
    <definedName name="___thinkcellREMAAAAAAAAAAAAAi3hNiuYZGUWeV2oOjligdQ" hidden="1">#REF!</definedName>
    <definedName name="___thinkcellREMAAAAAAAAAAAAAihsCpgnEE0OWxoAb9ErymQ" hidden="1">#REF!</definedName>
    <definedName name="___thinkcellREMAAAAAAAAAAAAAJQCN1imr.Em61kdgj04ORg" hidden="1">#REF!</definedName>
    <definedName name="___thinkcellREMAAAAAAAAAAAAAjrgAf.XzCkeq4PTw.YEoZw" hidden="1">#REF!</definedName>
    <definedName name="___thinkcellREMAAAAAAAAAAAAAkpy9OEo08kOmQ8SY7CFajw" hidden="1">#REF!</definedName>
    <definedName name="___thinkcellREMAAAAAAAAAAAAAkUU4PdR.Yk6IcY42qAiguw" hidden="1">#REF!</definedName>
    <definedName name="___thinkcellREMAAAAAAAAAAAAAl7nZEOcIbk6z7LfVOperlA" hidden="1">#REF!</definedName>
    <definedName name="___thinkcellREMAAAAAAAAAAAAAM_v2Ko_cn0OwpTH6bVuXrA" hidden="1">#REF!</definedName>
    <definedName name="___thinkcellREMAAAAAAAAAAAAAmcFayESUjkiV04Foqrj0lQ" hidden="1">#REF!</definedName>
    <definedName name="___thinkcellREMAAAAAAAAAAAAAmqGFyqjVsUyBN0L.AjADZQ" hidden="1">#REF!</definedName>
    <definedName name="___thinkcellREMAAAAAAAAAAAAAPc5sNNAvC0SGeup7DCV3sQ" hidden="1">#REF!</definedName>
    <definedName name="___thinkcellREMAAAAAAAAAAAAArO6H2BFAMkaSbdGCE_gd4A" hidden="1">#REF!</definedName>
    <definedName name="___thinkcellREMAAAAAAAAAAAAARvDZGK1iGUyCxZo3PMc9hw" hidden="1">#REF!</definedName>
    <definedName name="___thinkcellREMAAAAAAAAAAAAAS1TMZw6tu0mhiOoC_LYUNQ" hidden="1">#REF!</definedName>
    <definedName name="___thinkcellREMAAAAAAAAAAAAASb914LksRU.RxceF.d3B9Q" hidden="1">#REF!</definedName>
    <definedName name="___thinkcellREMAAAAAAAAAAAAAscdZXBvz.UiK2zvXSMCL_A" hidden="1">#REF!</definedName>
    <definedName name="___thinkcellREMAAAAAAAAAAAAAsy3Dqhj6t0eZa17R1dejoA" hidden="1">#REF!</definedName>
    <definedName name="___thinkcellREMAAAAAAAAAAAAAtnzPgfXN_k.sWNIYOLwC8w" hidden="1">#REF!</definedName>
    <definedName name="___thinkcellREMAAAAAAAAAAAAAWxLwDzGLT0O9YdzkKqAKcg" hidden="1">#REF!</definedName>
    <definedName name="___thinkcellREMAAAAAAAAAAAAAwXuRlPJtfUCvU6te1GHX_w" hidden="1">#REF!</definedName>
    <definedName name="___thinkcellREMAAAAAAAAAAAAAx1QTvV0I_ku_Qb5izd2HDA" hidden="1">#REF!</definedName>
    <definedName name="___thinkcellREMAAAAAAAAAAAAAyd1yHf3WLUaZNzHJLIimxQ" hidden="1">#REF!</definedName>
    <definedName name="___thinkcellREMAAAAAAAAAAAAAzER85wlbGkSgS7wWMlBatg" hidden="1">#REF!</definedName>
    <definedName name="___thinkcellREMAAAAAAAAAAAAAZHeKvRP0OEGmTC7.gEbA8A" hidden="1">#REF!</definedName>
    <definedName name="___thinkcellREMAAAAAAAADAAAAAUfuEK5wykKIbdSceqDapA" hidden="1">#REF!</definedName>
    <definedName name="___thinkcellREMAAAAAAAADAAAAJ489wtvdoEKHTxVPnauSHw" hidden="1">#REF!</definedName>
    <definedName name="___thinkcellREMAAAAAAAADAAAAlFDzg4wJs0eD.bNxj4oOng" hidden="1">#REF!</definedName>
    <definedName name="___thinkcellREMAAAAAAAADAAAAWJDb1pfvYkmN7X9d_2vdbw" hidden="1">#REF!</definedName>
    <definedName name="___thinkcellREMAAAEAAAAAAAAA0lAFTdJQwkCjVhltR1w.Vw" hidden="1">#REF!</definedName>
    <definedName name="___thinkcellREMAAAEAAAAAAAAA2J6nPpjPRk6s7kOKyFFM4Q" hidden="1">#REF!</definedName>
    <definedName name="___thinkcellREMAAAEAAAAAAAAA7fvymOJnWEaqf8I1hxEfcQ" hidden="1">#REF!</definedName>
    <definedName name="___thinkcellREMAAAEAAAAAAAAAaRD7whnk1UCY7JDcg07OhA" hidden="1">#REF!</definedName>
    <definedName name="___thinkcellREMAAAEAAAAAAAAAB3V9VX78c0KaWzoJkupB9w" hidden="1">#REF!</definedName>
    <definedName name="___thinkcellREMAAAEAAAAAAAAAfZYgDBxgTEiXO79DxfRQqQ" hidden="1">#REF!</definedName>
    <definedName name="___thinkcellREMAAAEAAAAAAAAAGWWc9dbeq0aXZxHjRCCXRA" hidden="1">#REF!</definedName>
    <definedName name="___thinkcellREMAAAEAAAAAAAAAKEk_PdbrsE.ezN_gMGH1Gg" hidden="1">#REF!</definedName>
    <definedName name="___thinkcellREMAAAEAAAAAAAAAL9HtP.qTKUKpkehNDuwbXA" hidden="1">#REF!</definedName>
    <definedName name="___thinkcellREMAAAEAAAAAAAAAnTsn0__awUa7CbX2Qiv3bQ" hidden="1">#REF!</definedName>
    <definedName name="___thinkcellREMAAAEAAAAAAAAAPcoGmOdyTU2YLjfL0LFWTg" hidden="1">#REF!</definedName>
    <definedName name="___thinkcellREMAAAEAAAAAAAAApG6mC0sbyEG6W4AeRzq6gA" hidden="1">#REF!</definedName>
    <definedName name="___thinkcellREMAAAEAAAAAAAAAzI938ijGy0W1WaZ.NZl_Zg" hidden="1">#REF!</definedName>
    <definedName name="___thinkcellREMAAAEAAAAEAAAABB3z0J5WqkOJua91tOlPJw" hidden="1">#REF!</definedName>
    <definedName name="___thinkcellREMAAAEAAAAEAAAAFgF2iOJ36UGx4xV1unFaow" hidden="1">#REF!</definedName>
    <definedName name="___thinkcellREMAAAEAAAAEAAAAfVEPKmpdqE.vmt8YOP2fQA" hidden="1">#REF!</definedName>
    <definedName name="___thinkcellREMAAAEAAAAEAAAAG0AkD4O9BkGC6GmDTkkl7w" hidden="1">#REF!</definedName>
    <definedName name="___thinkcellREMAAAEAAAAEAAAANIX0j9XgzUikPTx7V9rJkg" hidden="1">#REF!</definedName>
    <definedName name="___thinkcellREMAAAEAAAAEAAAAOxvEKBofqEeaN_uQuBrXwA" hidden="1">#REF!</definedName>
    <definedName name="___thinkcellREMAAAEAAAAEAAAAtWsPIHCLrUWJLG6WkP3t1w" hidden="1">#REF!</definedName>
    <definedName name="___thinkcellREMAAAEAAAAEAAAAum4wzyjaa02A5jmsPqS.eQ" hidden="1">#REF!</definedName>
    <definedName name="___thinkcellREMAAAEAAAAEAAAAuNCtXF_7NEmoTaBc1uZf0g" hidden="1">#REF!</definedName>
    <definedName name="___thinkcellREMAAAEAAAAEAAAAxNCOFR3bvUqwN51UcUeYXg" hidden="1">#REF!</definedName>
    <definedName name="__123Graph_A" hidden="1">#REF!</definedName>
    <definedName name="__123Graph_B" hidden="1">#REF!</definedName>
    <definedName name="__123Graph_LBL_A" hidden="1">#REF!</definedName>
    <definedName name="__123Graph_LBL_B" hidden="1">#REF!</definedName>
    <definedName name="__123Graph_X" hidden="1">#REF!</definedName>
    <definedName name="__out5" hidden="1">#REF!</definedName>
    <definedName name="_123Graph_A_val" hidden="1">#REF!</definedName>
    <definedName name="_123Graph_B_val" hidden="1">#REF!</definedName>
    <definedName name="_123Graph_LBL_A_val" hidden="1">#REF!</definedName>
    <definedName name="_123Graph_X_val" hidden="1">#REF!</definedName>
    <definedName name="_Fill" hidden="1">#REF!</definedName>
    <definedName name="_Fill_val" hidden="1">#REF!</definedName>
    <definedName name="_fill2" hidden="1">#REF!</definedName>
    <definedName name="_out5" hidden="1">#REF!</definedName>
    <definedName name="aaaaaaaa" hidden="1">#REF!</definedName>
    <definedName name="_xlnm.Print_Area" localSheetId="1">ESTADO_RESULTADOS!$A$1:$F$28</definedName>
    <definedName name="CBWorkbookPriority" hidden="1">-1935235038</definedName>
    <definedName name="HTML_CodePage" hidden="1">1252</definedName>
    <definedName name="HTML_Control" hidden="1">{"'Sheet1'!$A$1:$G$85"}</definedName>
    <definedName name="HTML_Description" hidden="1">""</definedName>
    <definedName name="HTML_Email" hidden="1">""</definedName>
    <definedName name="HTML_Header" hidden="1">"Sheet1"</definedName>
    <definedName name="HTML_LastUpdate" hidden="1">"2/24/99"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HD:HomePageStuff:New_Home_Page:datafile:histret.html"</definedName>
    <definedName name="HTML_Title" hidden="1">"Historical Returns on Stocks, Bonds and Bills"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DAILY_VOL" hidden="1">"c65"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MKTCAP" hidden="1">"c80"</definedName>
    <definedName name="IQ_AVG_PRICE" hidden="1">"c81"</definedName>
    <definedName name="IQ_AVG_SHAREOUTSTANDING" hidden="1">"c83"</definedName>
    <definedName name="IQ_AVG_TEV" hidden="1">"c84"</definedName>
    <definedName name="IQ_AVG_VOLUME" hidden="1">"c1346"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UILDINGS" hidden="1">"c99"</definedName>
    <definedName name="IQ_BUSINESS_DESCRIPTION" hidden="1">"c322"</definedName>
    <definedName name="IQ_BV_OVER_SHARES" hidden="1">"c1349"</definedName>
    <definedName name="IQ_BV_SHARE" hidden="1">"c100"</definedName>
    <definedName name="IQ_CAL_Q" hidden="1">"c101"</definedName>
    <definedName name="IQ_CAL_Y" hidden="1">"c102"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IZED_INTEREST" hidden="1">"c2076"</definedName>
    <definedName name="IQ_CASH" hidden="1">"c1458"</definedName>
    <definedName name="IQ_CASH_ACQUIRE_CF" hidden="1">"c1630"</definedName>
    <definedName name="IQ_CASH_CONVERSION" hidden="1">"c117"</definedName>
    <definedName name="IQ_CASH_DUE_BANKS" hidden="1">"c1351"</definedName>
    <definedName name="IQ_CASH_EQUIV" hidden="1">"c118"</definedName>
    <definedName name="IQ_CASH_FINAN" hidden="1">"c119"</definedName>
    <definedName name="IQ_CASH_INTEREST" hidden="1">"c120"</definedName>
    <definedName name="IQ_CASH_INVEST" hidden="1">"c121"</definedName>
    <definedName name="IQ_CASH_OPER" hidden="1">"c122"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WORKING_CAPITAL" hidden="1">"c1909"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ASSA_OUTSTANDING_BS_DATE" hidden="1">"c1971"</definedName>
    <definedName name="IQ_CLASSA_OUTSTANDING_FILING_DATE" hidden="1">"c1973"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LEASES" hidden="1">"c245"</definedName>
    <definedName name="IQ_CURRENT_RATIO" hidden="1">"c246"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OTHER_COST" hidden="1">"c284"</definedName>
    <definedName name="IQ_DEF_BENEFIT_ROA" hidden="1">"c285"</definedName>
    <definedName name="IQ_DEF_BENEFIT_SERVICE_COST" hidden="1">"c286"</definedName>
    <definedName name="IQ_DEF_BENEFIT_TOTAL_COST" hidden="1">"c287"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V_PAYMENT_DATE" hidden="1">"c2106"</definedName>
    <definedName name="IQ_DIV_RECORD_DATE" hidden="1">"c2105"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EARNING_ASSET_YIELD" hidden="1">"c343"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INT" hidden="1">"c360"</definedName>
    <definedName name="IQ_EBIT_MARGIN" hidden="1">"c359"</definedName>
    <definedName name="IQ_EBIT_OVER_IE" hidden="1">"c1369"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CAPEX_INT" hidden="1">"c368"</definedName>
    <definedName name="IQ_EBITDA_CAPEX_OVER_TOTAL_IE" hidden="1">"c1370"</definedName>
    <definedName name="IQ_EBITDA_INT" hidden="1">"c373"</definedName>
    <definedName name="IQ_EBITDA_MARGIN" hidden="1">"c372"</definedName>
    <definedName name="IQ_EBITDA_OVER_TOTAL_IE" hidden="1">"c1371"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IT" hidden="1">"c389"</definedName>
    <definedName name="IQ_EBT_UTI" hidden="1">"c390"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NORM" hidden="1">"c1902"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FO" hidden="1">"c1574"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N_DIV_ASSETS_CURRENT" hidden="1">"c427"</definedName>
    <definedName name="IQ_FIN_DIV_ASSETS_LT" hidden="1">"c428"</definedName>
    <definedName name="IQ_FIN_DIV_DEBT_CURRENT" hidden="1">"c429"</definedName>
    <definedName name="IQ_FIN_DIV_DEBT_LT" hidden="1">"c430"</definedName>
    <definedName name="IQ_FIN_DIV_EXP" hidden="1">"c431"</definedName>
    <definedName name="IQ_FIN_DIV_INT_EXP" hidden="1">"c432"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REV" hidden="1">"c437"</definedName>
    <definedName name="IQ_FINANCING_CASH" hidden="1">"c1405"</definedName>
    <definedName name="IQ_FINANCING_CASH_SUPPL" hidden="1">"c1406"</definedName>
    <definedName name="IQ_FINISHED_INV" hidden="1">"c438"</definedName>
    <definedName name="IQ_FIRST_YEAR_LIFE" hidden="1">"c439"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DIVID" hidden="1">"c1446"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ROFIT" hidden="1">"c1378"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IGHPRICE" hidden="1">"c545"</definedName>
    <definedName name="IQ_HOMEOWNERS_WRITTEN" hidden="1">"c546"</definedName>
    <definedName name="IQ_IMPAIR_OIL" hidden="1">"c547"</definedName>
    <definedName name="IQ_IMPAIRMENT_GW" hidden="1">"c548"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S_ANNUITY_LIAB" hidden="1">"c563"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PRD" hidden="1">"c644"</definedName>
    <definedName name="IQ_ISS_DEBT_NET" hidden="1">"c1391"</definedName>
    <definedName name="IQ_ISS_STOCK_NET" hidden="1">"c1601"</definedName>
    <definedName name="IQ_LAND" hidden="1">"c645"</definedName>
    <definedName name="IQ_LAST_SPLIT_DATE" hidden="1">"c2095"</definedName>
    <definedName name="IQ_LAST_SPLIT_FACTOR" hidden="1">"c2093"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ICENSED_POPS" hidden="1">"c2123"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REPAIR" hidden="1">"c2087"</definedName>
    <definedName name="IQ_MARKETCAP" hidden="1">"c712"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NAMES_REVISION_DATE_" hidden="1">40567.4466087963</definedName>
    <definedName name="IQ_NET_CHANGE" hidden="1">"c749"</definedName>
    <definedName name="IQ_NET_DEBT" hidden="1">"c1584"</definedName>
    <definedName name="IQ_NET_DEBT_EBITDA" hidden="1">"c750"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MARGIN" hidden="1">"c794"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SFAS" hidden="1">"c795"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UTIL_REV" hidden="1">"c2089"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CLOSE_BALANCE_GAS" hidden="1">"c2049"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OIL" hidden="1">"c2032"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OIL" hidden="1">"c2035"</definedName>
    <definedName name="IQ_OG_PURCHASES_GAS" hidden="1">"c2045"</definedName>
    <definedName name="IQ_OG_PURCHASES_OIL" hidden="1">"c2033"</definedName>
    <definedName name="IQ_OG_REVISIONS_GAS" hidden="1">"c2042"</definedName>
    <definedName name="IQ_OG_REVISIONS_OIL" hidden="1">"c2030"</definedName>
    <definedName name="IQ_OG_SALES_IN_PLACE_GAS" hidden="1">"c2046"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OIL_PRODUCTON" hidden="1">"c2059"</definedName>
    <definedName name="IQ_OG_UNDEVELOPED_RESERVES_GAS" hidden="1">"c2051"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ISSUED" hidden="1">"c857"</definedName>
    <definedName name="IQ_ORDER_BACKLOG" hidden="1">"c2090"</definedName>
    <definedName name="IQ_OTHER_ADJUST_GROSS_LOANS" hidden="1">"c859"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UTSTANDING_BS_DATE" hidden="1">"c2128"</definedName>
    <definedName name="IQ_OUTSTANDING_FILING_DATE" hidden="1">"c2127"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WRITTEN" hidden="1">"c1027"</definedName>
    <definedName name="IQ_PE_EXCL" hidden="1">"c1028"</definedName>
    <definedName name="IQ_PE_EXCL_AVG" hidden="1">"c1029"</definedName>
    <definedName name="IQ_PE_RATIO" hidden="1">"c1610"</definedName>
    <definedName name="IQ_PENSION" hidden="1">"c1031"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RE_OPEN_COST" hidden="1">"c1040"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ICE_OVER_BVPS" hidden="1">"c1412"</definedName>
    <definedName name="IQ_PRICE_OVER_LTM_EPS" hidden="1">"c1413"</definedName>
    <definedName name="IQ_PRICEDATE" hidden="1">"c1069"</definedName>
    <definedName name="IQ_PRICING_DATE" hidden="1">"c1613"</definedName>
    <definedName name="IQ_PRIMARY_INDUSTRY" hidden="1">"c1070"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VG_STORE_SIZE_GROSS" hidden="1">"c2066"</definedName>
    <definedName name="IQ_RETAIL_AVG_STORE_SIZE_NET" hidden="1">"c2067"</definedName>
    <definedName name="IQ_RETAIL_CLOSED_STORES" hidden="1">"c2063"</definedName>
    <definedName name="IQ_RETAIL_OPENED_STORES" hidden="1">"c2062"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Q_FOOTAGE" hidden="1">"c2064"</definedName>
    <definedName name="IQ_RETAIL_STORE_SELLING_AREA" hidden="1">"c2065"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S" hidden="1">"c1116"</definedName>
    <definedName name="IQ_RETURN_CAPITAL" hidden="1">"c1117"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S" hidden="1">"c1121"</definedName>
    <definedName name="IQ_RETURN_INVESTMENT" hidden="1">"c1421"</definedName>
    <definedName name="IQ_REV" hidden="1">"c1122"</definedName>
    <definedName name="IQ_REV_BEFORE_LL" hidden="1">"c1123"</definedName>
    <definedName name="IQ_REV_UTI" hidden="1">"c1125"</definedName>
    <definedName name="IQ_REVENUE" hidden="1">"c1422"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ME_STORE" hidden="1">"c1149"</definedName>
    <definedName name="IQ_SAVING_DEP" hidden="1">"c1150"</definedName>
    <definedName name="IQ_SECUR_RECEIV" hidden="1">"c1151"</definedName>
    <definedName name="IQ_SECURITY_BORROW" hidden="1">"c1152"</definedName>
    <definedName name="IQ_SECURITY_OWN" hidden="1">"c1153"</definedName>
    <definedName name="IQ_SECURITY_RESELL" hidden="1">"c1154"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CF" hidden="1">"c1203"</definedName>
    <definedName name="IQ_STRIKE_PRICE_ISSUED" hidden="1">"c1645"</definedName>
    <definedName name="IQ_STRIKE_PRICE_OS" hidden="1">"c1646"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MPLOYEE_AVG" hidden="1">"c1225"</definedName>
    <definedName name="IQ_TEV_TOTAL_REV" hidden="1">"c1226"</definedName>
    <definedName name="IQ_TEV_TOTAL_REV_AVG" hidden="1">"c1227"</definedName>
    <definedName name="IQ_TIER_ONE_RATIO" hidden="1">"c1229"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QUITY" hidden="1">"c1250"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S" hidden="1">"c1522"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EXP" hidden="1">"c1291"</definedName>
    <definedName name="IQ_TOTAL_PENSION_OBLIGATION" hidden="1">"c1292"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S" hidden="1">"c2119"</definedName>
    <definedName name="IQ_TOTAL_UNUSUAL" hidden="1">"c1508"</definedName>
    <definedName name="IQ_TRADE_AR" hidden="1">"c1345"</definedName>
    <definedName name="IQ_TRADE_PRINCIPAL" hidden="1">"c1309"</definedName>
    <definedName name="IQ_TRADING_ASSETS" hidden="1">"c1310"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USUAL_EXP" hidden="1">"c1456"</definedName>
    <definedName name="IQ_US_GAAP" hidden="1">"c1331"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EEK" hidden="1">50000</definedName>
    <definedName name="IQ_WEIGHTED_AVG_PRICE" hidden="1">"c1334"</definedName>
    <definedName name="IQ_WIP_INV" hidden="1">"c1335"</definedName>
    <definedName name="IQ_WORKMEN_WRITTEN" hidden="1">"c1336"</definedName>
    <definedName name="IQ_XDIV_DATE" hidden="1">"c2104"</definedName>
    <definedName name="IQ_YEARHIGH" hidden="1">"c1337"</definedName>
    <definedName name="IQ_YEARLOW" hidden="1">"c1338"</definedName>
    <definedName name="IQ_YTD" hidden="1">3000</definedName>
    <definedName name="IQ_YTDMONTH" hidden="1">130000</definedName>
    <definedName name="IQ_Z_SCORE" hidden="1">"c1339"</definedName>
    <definedName name="ke" hidden="1">{"'Sheet1'!$A$1:$G$85"}</definedName>
    <definedName name="ListOffset" hidden="1">1</definedName>
    <definedName name="Output_graph1" hidden="1">#REF!</definedName>
    <definedName name="output_graph2" hidden="1">#REF!</definedName>
    <definedName name="output_graph3" hidden="1">#REF!</definedName>
    <definedName name="output_praph4" hidden="1">#REF!</definedName>
    <definedName name="wrn.Print._.All._.A4." hidden="1">{"Valuation",#N/A,TRUE,"Valuation Summary";"Financial Statements",#N/A,TRUE,"Results";"Results",#N/A,TRUE,"Results";"Ratios",#N/A,TRUE,"Results";"Historical data",#N/A,TRUE,"Historical Data";"Forecast inputs",#N/A,TRUE,"Forecast Drivers"}</definedName>
    <definedName name="wrn.Print._.All._.Letter." hidden="1">{"Valuation Letter",#N/A,TRUE,"Valuation Summary";"Financial Statements Letter",#N/A,TRUE,"Results";"Results Letter",#N/A,TRUE,"Results";"Ratios Letter",#N/A,TRUE,"Results";"Historical data Letter",#N/A,TRUE,"Historical Data";"Forecast inputs Letter",#N/A,TRUE,"Forecast Drivers"}</definedName>
    <definedName name="wrn.Print._.Results._.A4." hidden="1">{"Valuation",#N/A,TRUE,"Valuation Summary";"Financial Statements",#N/A,TRUE,"Results";"Results",#N/A,TRUE,"Results";"Ratios",#N/A,TRUE,"Results"}</definedName>
    <definedName name="wrn.Print._.Results._.Letter." hidden="1">{"Valuation Letter",#N/A,TRUE,"Valuation Summary";"Financial Statements Letter",#N/A,TRUE,"Results";"Results Letter",#N/A,TRUE,"Results";"Ratios Letter",#N/A,TRUE,"Results"}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5" l="1"/>
  <c r="D27" i="5" l="1"/>
  <c r="C16" i="5" l="1"/>
  <c r="D11" i="5"/>
  <c r="C11" i="5"/>
  <c r="B11" i="5"/>
  <c r="D16" i="5"/>
  <c r="B17" i="5" l="1"/>
  <c r="C17" i="5"/>
  <c r="D17" i="5"/>
  <c r="D6" i="4" l="1"/>
  <c r="C6" i="4"/>
  <c r="B6" i="4"/>
  <c r="D4" i="4" l="1"/>
  <c r="B27" i="5" l="1"/>
  <c r="D42" i="5" l="1"/>
  <c r="C42" i="5"/>
  <c r="B42" i="5"/>
  <c r="D32" i="5"/>
  <c r="C32" i="5"/>
  <c r="B32" i="5"/>
  <c r="C27" i="5"/>
  <c r="C33" i="5" l="1"/>
  <c r="B33" i="5"/>
  <c r="B44" i="5" l="1"/>
  <c r="B46" i="5" s="1"/>
  <c r="C44" i="5"/>
  <c r="C46" i="5" s="1"/>
  <c r="C4" i="4" l="1"/>
  <c r="B4" i="4"/>
  <c r="B7" i="4" l="1"/>
  <c r="C7" i="4"/>
  <c r="D7" i="4"/>
  <c r="B10" i="4" l="1"/>
  <c r="B12" i="4" s="1"/>
  <c r="B16" i="4" s="1"/>
  <c r="C10" i="4"/>
  <c r="D10" i="4"/>
  <c r="D12" i="4" s="1"/>
  <c r="D16" i="4" s="1"/>
  <c r="C12" i="4" l="1"/>
  <c r="C16" i="4" l="1"/>
  <c r="D18" i="4"/>
  <c r="C18" i="4"/>
  <c r="B18" i="4" l="1"/>
  <c r="D33" i="5" l="1"/>
  <c r="D44" i="5" l="1"/>
  <c r="D46" i="5" s="1"/>
</calcChain>
</file>

<file path=xl/sharedStrings.xml><?xml version="1.0" encoding="utf-8"?>
<sst xmlns="http://schemas.openxmlformats.org/spreadsheetml/2006/main" count="59" uniqueCount="59">
  <si>
    <t>BALANCE GENERAL</t>
  </si>
  <si>
    <t>ACTIVOS</t>
  </si>
  <si>
    <t>Inventario</t>
  </si>
  <si>
    <t>PASIVOS</t>
  </si>
  <si>
    <t>PATRIMONIO</t>
  </si>
  <si>
    <t>Reservas</t>
  </si>
  <si>
    <t>TOTAL PASIVO Y PATRIMONIO</t>
  </si>
  <si>
    <t>ESTADO DE RESULTADOS</t>
  </si>
  <si>
    <t>Cuentas por cobrar</t>
  </si>
  <si>
    <t>Pasivo Corriente</t>
  </si>
  <si>
    <t>Activo Corriente</t>
  </si>
  <si>
    <t>Pasivo No Corriente</t>
  </si>
  <si>
    <t>Activo No Corriente</t>
  </si>
  <si>
    <t>Total Ingresos por ventas</t>
  </si>
  <si>
    <t>EBITDA</t>
  </si>
  <si>
    <t>Ajustes</t>
  </si>
  <si>
    <t>RESULTADO ANTES DEL IMPUESTO</t>
  </si>
  <si>
    <t>,</t>
  </si>
  <si>
    <t>Inversiones temporarias</t>
  </si>
  <si>
    <t>Total Costos de explotación</t>
  </si>
  <si>
    <t>Obligaciones sociales</t>
  </si>
  <si>
    <t>Obligaciones fiscales</t>
  </si>
  <si>
    <t>Ingresos por ventas</t>
  </si>
  <si>
    <t>Bienes de uso</t>
  </si>
  <si>
    <t>ACTIVOS TOTALES</t>
  </si>
  <si>
    <t>PASIVOS TOTALES</t>
  </si>
  <si>
    <t>PATRIMONIO TOTAL</t>
  </si>
  <si>
    <t>Otras cuentas por cobrar</t>
  </si>
  <si>
    <t>Otros activos corrientes</t>
  </si>
  <si>
    <t>Otros activos de largo plazo</t>
  </si>
  <si>
    <t>Otras cuentas por pagar</t>
  </si>
  <si>
    <t>Impuestos por recuperar</t>
  </si>
  <si>
    <t>Inversiones permanentes</t>
  </si>
  <si>
    <t>Préstamos bancarios corto plazo</t>
  </si>
  <si>
    <t>Porción corriente de deuda largo plazo</t>
  </si>
  <si>
    <t>Préstamos bancarios largo plazo</t>
  </si>
  <si>
    <t>Cuenta por pagar socios</t>
  </si>
  <si>
    <t>Otros Pasivos no corrientes</t>
  </si>
  <si>
    <t>Capital social</t>
  </si>
  <si>
    <t>Aportes por capitalizar</t>
  </si>
  <si>
    <t>Resultados acumulados</t>
  </si>
  <si>
    <t>Utilidad (pérdida) del ejercicio</t>
  </si>
  <si>
    <t>Provisiones</t>
  </si>
  <si>
    <t>RESULTADO BRUTO</t>
  </si>
  <si>
    <t>RESULTADO OPERATIVO (EBIT / UAII)</t>
  </si>
  <si>
    <t>RESULTADO DEL EJERCICIO</t>
  </si>
  <si>
    <t>(+) Ingresos financieros</t>
  </si>
  <si>
    <t>(-) Gastos administrativos</t>
  </si>
  <si>
    <t>(-) Gastos de comercialización</t>
  </si>
  <si>
    <t>(-) Gastos financieros (intereses)</t>
  </si>
  <si>
    <t>(+/-) Otros ingresos y egresos</t>
  </si>
  <si>
    <t>(-) Impuesto a la renta</t>
  </si>
  <si>
    <t>(-) Costo de explotación</t>
  </si>
  <si>
    <t>Intangibles</t>
  </si>
  <si>
    <t>Caja y bancos</t>
  </si>
  <si>
    <t>(-) Depreciaciones y amortizaciones</t>
  </si>
  <si>
    <t>Otras pasivos a corto plazo</t>
  </si>
  <si>
    <t>DIFERENCIA  (ACT - PAS y PAT) ---&gt;</t>
  </si>
  <si>
    <t>Cuentas por pagar proveedores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</si>
</sst>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0.00_)"/>
    <numFmt numFmtId="165" formatCode="#,##0;\(#,##0\)"/>
    <numFmt numFmtId="166" formatCode="_-* #,##0_-;\-* #,##0_-;_-* &quot;-&quot;??_-;_-@_-"/>
    <numFmt numFmtId="167" formatCode="_(* #,##0.00_);_(* \(#,##0.00\);_(* &quot;-&quot;??_);_(@_)"/>
    <numFmt numFmtId="168" formatCode="0.0%"/>
    <numFmt numFmtId="169" formatCode="yyyy"/>
    <numFmt numFmtId="170" formatCode="_ &quot;$&quot;* #,##0_ ;_ &quot;$&quot;* \-#,##0_ ;_ &quot;$&quot;* &quot;-&quot;_ ;_ @_ "/>
    <numFmt numFmtId="171" formatCode="_ * #,##0_ ;_ * \-#,##0_ ;_ * &quot;-&quot;_ ;_ @_ "/>
  </numFmts>
  <fonts count="23"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6"/>
      <color indexed="34"/>
      <name val="Fujiyama2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indexed="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8"/>
      <color theme="0"/>
      <name val="Calibri"/>
      <family val="2"/>
      <scheme val="minor"/>
    </font>
    <font>
      <sz val="10"/>
      <color theme="1"/>
      <name val="Calibri"/>
      <family val="2"/>
    </font>
    <font>
      <i/>
      <sz val="1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9"/>
      <color theme="1" tint="0.499984740745262"/>
      <name val="Calibri"/>
      <family val="2"/>
    </font>
    <font>
      <i/>
      <sz val="9"/>
      <color theme="1" tint="0.499984740745262"/>
      <name val="Calibri"/>
      <family val="2"/>
      <scheme val="minor"/>
    </font>
    <font>
      <sz val="10"/>
      <name val="Futura Bk BT"/>
      <family val="2"/>
    </font>
    <font>
      <b/>
      <sz val="12"/>
      <name val="Arial"/>
      <family val="2"/>
    </font>
    <font>
      <i/>
      <sz val="9"/>
      <name val="Calibri"/>
      <family val="2"/>
      <scheme val="minor"/>
    </font>
    <font>
      <b/>
      <sz val="10"/>
      <color theme="1" tint="0.34998626667073579"/>
      <name val="Calibri"/>
      <family val="2"/>
      <scheme val="minor"/>
    </font>
    <font>
      <b/>
      <sz val="9"/>
      <color theme="1" tint="0.3499862666707357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7E7F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27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8" fillId="0" borderId="0"/>
    <xf numFmtId="0" fontId="9" fillId="0" borderId="0">
      <alignment vertical="top"/>
    </xf>
    <xf numFmtId="43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9" fontId="9" fillId="0" borderId="0" applyFont="0" applyFill="0" applyBorder="0" applyAlignment="0" applyProtection="0">
      <alignment vertical="top"/>
    </xf>
    <xf numFmtId="0" fontId="8" fillId="0" borderId="0"/>
    <xf numFmtId="43" fontId="1" fillId="0" borderId="0" applyFont="0" applyFill="0" applyBorder="0" applyAlignment="0" applyProtection="0"/>
    <xf numFmtId="167" fontId="9" fillId="0" borderId="0" applyFont="0" applyFill="0" applyBorder="0" applyAlignment="0" applyProtection="0">
      <alignment vertical="top"/>
    </xf>
    <xf numFmtId="0" fontId="9" fillId="0" borderId="0">
      <alignment vertical="top"/>
    </xf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170" fontId="8" fillId="0" borderId="0" applyFont="0" applyFill="0" applyBorder="0" applyAlignment="0" applyProtection="0"/>
    <xf numFmtId="171" fontId="8" fillId="0" borderId="0" applyFont="0" applyFill="0" applyBorder="0" applyAlignment="0" applyProtection="0"/>
    <xf numFmtId="0" fontId="8" fillId="0" borderId="0"/>
    <xf numFmtId="43" fontId="8" fillId="0" borderId="0" applyFont="0" applyFill="0" applyBorder="0" applyAlignment="0" applyProtection="0"/>
    <xf numFmtId="0" fontId="14" fillId="0" borderId="0"/>
    <xf numFmtId="0" fontId="15" fillId="0" borderId="0" applyNumberFormat="0" applyFill="0" applyBorder="0" applyAlignment="0" applyProtection="0"/>
    <xf numFmtId="9" fontId="1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9">
    <xf numFmtId="0" fontId="0" fillId="0" borderId="0" xfId="0"/>
    <xf numFmtId="3" fontId="0" fillId="0" borderId="0" xfId="0" applyNumberFormat="1"/>
    <xf numFmtId="166" fontId="0" fillId="0" borderId="0" xfId="10" applyNumberFormat="1" applyFont="1" applyProtection="1"/>
    <xf numFmtId="168" fontId="0" fillId="0" borderId="0" xfId="1" applyNumberFormat="1" applyFont="1" applyProtection="1"/>
    <xf numFmtId="166" fontId="16" fillId="0" borderId="0" xfId="10" applyNumberFormat="1" applyFont="1" applyProtection="1"/>
    <xf numFmtId="4" fontId="16" fillId="0" borderId="0" xfId="10" applyNumberFormat="1" applyFont="1" applyProtection="1"/>
    <xf numFmtId="0" fontId="2" fillId="2" borderId="0" xfId="2" applyFill="1"/>
    <xf numFmtId="37" fontId="5" fillId="3" borderId="0" xfId="2" applyNumberFormat="1" applyFont="1" applyFill="1" applyAlignment="1">
      <alignment horizontal="centerContinuous" vertical="center"/>
    </xf>
    <xf numFmtId="37" fontId="4" fillId="3" borderId="0" xfId="2" applyNumberFormat="1" applyFont="1" applyFill="1" applyAlignment="1">
      <alignment horizontal="centerContinuous" vertical="top"/>
    </xf>
    <xf numFmtId="37" fontId="10" fillId="0" borderId="0" xfId="2" applyNumberFormat="1" applyFont="1" applyAlignment="1">
      <alignment horizontal="center" vertical="center"/>
    </xf>
    <xf numFmtId="164" fontId="20" fillId="0" borderId="4" xfId="2" applyNumberFormat="1" applyFont="1" applyBorder="1" applyAlignment="1">
      <alignment horizontal="left" vertical="center" indent="1"/>
    </xf>
    <xf numFmtId="169" fontId="4" fillId="0" borderId="4" xfId="2" applyNumberFormat="1" applyFont="1" applyBorder="1" applyAlignment="1">
      <alignment horizontal="center" vertical="center"/>
    </xf>
    <xf numFmtId="0" fontId="3" fillId="2" borderId="0" xfId="2" applyFont="1" applyFill="1" applyAlignment="1">
      <alignment horizontal="left" vertical="center"/>
    </xf>
    <xf numFmtId="164" fontId="6" fillId="0" borderId="0" xfId="2" applyNumberFormat="1" applyFont="1" applyAlignment="1">
      <alignment horizontal="left" vertical="center" indent="1"/>
    </xf>
    <xf numFmtId="3" fontId="6" fillId="0" borderId="0" xfId="2" applyNumberFormat="1" applyFont="1" applyAlignment="1">
      <alignment horizontal="right" vertical="center" indent="1"/>
    </xf>
    <xf numFmtId="164" fontId="4" fillId="0" borderId="2" xfId="2" applyNumberFormat="1" applyFont="1" applyBorder="1" applyAlignment="1">
      <alignment horizontal="left" vertical="center" indent="1"/>
    </xf>
    <xf numFmtId="3" fontId="4" fillId="0" borderId="2" xfId="2" applyNumberFormat="1" applyFont="1" applyBorder="1" applyAlignment="1">
      <alignment horizontal="right" vertical="center" indent="1"/>
    </xf>
    <xf numFmtId="164" fontId="4" fillId="0" borderId="3" xfId="2" applyNumberFormat="1" applyFont="1" applyBorder="1" applyAlignment="1">
      <alignment horizontal="left" vertical="center" indent="1"/>
    </xf>
    <xf numFmtId="3" fontId="4" fillId="0" borderId="3" xfId="2" applyNumberFormat="1" applyFont="1" applyBorder="1" applyAlignment="1">
      <alignment horizontal="right" vertical="center" indent="1"/>
    </xf>
    <xf numFmtId="164" fontId="4" fillId="5" borderId="0" xfId="2" applyNumberFormat="1" applyFont="1" applyFill="1" applyAlignment="1">
      <alignment horizontal="left" vertical="center" indent="1"/>
    </xf>
    <xf numFmtId="3" fontId="4" fillId="5" borderId="0" xfId="2" applyNumberFormat="1" applyFont="1" applyFill="1" applyAlignment="1">
      <alignment horizontal="right" vertical="center" indent="1"/>
    </xf>
    <xf numFmtId="164" fontId="4" fillId="5" borderId="2" xfId="2" applyNumberFormat="1" applyFont="1" applyFill="1" applyBorder="1" applyAlignment="1">
      <alignment horizontal="left" vertical="center" indent="1"/>
    </xf>
    <xf numFmtId="3" fontId="4" fillId="5" borderId="2" xfId="2" applyNumberFormat="1" applyFont="1" applyFill="1" applyBorder="1" applyAlignment="1">
      <alignment horizontal="right" vertical="center" indent="1"/>
    </xf>
    <xf numFmtId="0" fontId="2" fillId="0" borderId="0" xfId="2"/>
    <xf numFmtId="164" fontId="4" fillId="0" borderId="0" xfId="2" applyNumberFormat="1" applyFont="1" applyAlignment="1">
      <alignment horizontal="left" vertical="center" indent="1"/>
    </xf>
    <xf numFmtId="3" fontId="4" fillId="0" borderId="0" xfId="2" applyNumberFormat="1" applyFont="1" applyAlignment="1">
      <alignment horizontal="right" vertical="center" indent="1"/>
    </xf>
    <xf numFmtId="164" fontId="4" fillId="4" borderId="2" xfId="2" applyNumberFormat="1" applyFont="1" applyFill="1" applyBorder="1" applyAlignment="1">
      <alignment horizontal="left" vertical="center" indent="1"/>
    </xf>
    <xf numFmtId="3" fontId="4" fillId="4" borderId="2" xfId="2" applyNumberFormat="1" applyFont="1" applyFill="1" applyBorder="1" applyAlignment="1">
      <alignment horizontal="right" vertical="center" indent="1"/>
    </xf>
    <xf numFmtId="0" fontId="17" fillId="2" borderId="0" xfId="2" applyFont="1" applyFill="1"/>
    <xf numFmtId="0" fontId="16" fillId="0" borderId="0" xfId="0" applyFont="1"/>
    <xf numFmtId="0" fontId="17" fillId="2" borderId="0" xfId="2" applyFont="1" applyFill="1" applyAlignment="1">
      <alignment horizontal="left" indent="1"/>
    </xf>
    <xf numFmtId="0" fontId="12" fillId="2" borderId="0" xfId="2" applyFont="1" applyFill="1" applyAlignment="1">
      <alignment horizontal="left" indent="1"/>
    </xf>
    <xf numFmtId="0" fontId="19" fillId="3" borderId="0" xfId="2" applyFont="1" applyFill="1" applyAlignment="1">
      <alignment horizontal="left" vertical="center" indent="1"/>
    </xf>
    <xf numFmtId="37" fontId="6" fillId="0" borderId="0" xfId="2" applyNumberFormat="1" applyFont="1" applyAlignment="1">
      <alignment horizontal="right" vertical="center"/>
    </xf>
    <xf numFmtId="0" fontId="11" fillId="0" borderId="0" xfId="0" applyFont="1"/>
    <xf numFmtId="165" fontId="2" fillId="2" borderId="0" xfId="2" applyNumberFormat="1" applyFill="1" applyAlignment="1">
      <alignment horizontal="fill" vertical="center"/>
    </xf>
    <xf numFmtId="17" fontId="4" fillId="0" borderId="0" xfId="2" applyNumberFormat="1" applyFont="1" applyAlignment="1">
      <alignment horizontal="center" vertical="center"/>
    </xf>
    <xf numFmtId="9" fontId="18" fillId="2" borderId="0" xfId="1" applyFont="1" applyFill="1" applyAlignment="1" applyProtection="1">
      <alignment vertical="center"/>
    </xf>
    <xf numFmtId="3" fontId="18" fillId="2" borderId="0" xfId="2" applyNumberFormat="1" applyFont="1" applyFill="1" applyAlignment="1">
      <alignment vertical="center"/>
    </xf>
    <xf numFmtId="3" fontId="11" fillId="0" borderId="0" xfId="0" applyNumberFormat="1" applyFont="1"/>
    <xf numFmtId="164" fontId="6" fillId="0" borderId="1" xfId="2" applyNumberFormat="1" applyFont="1" applyBorder="1" applyAlignment="1">
      <alignment horizontal="left" vertical="center" indent="1"/>
    </xf>
    <xf numFmtId="3" fontId="6" fillId="0" borderId="1" xfId="2" applyNumberFormat="1" applyFont="1" applyBorder="1" applyAlignment="1">
      <alignment horizontal="right" vertical="center" indent="1"/>
    </xf>
    <xf numFmtId="164" fontId="4" fillId="0" borderId="0" xfId="2" quotePrefix="1" applyNumberFormat="1" applyFont="1" applyAlignment="1">
      <alignment horizontal="left" vertical="center" indent="1"/>
    </xf>
    <xf numFmtId="10" fontId="11" fillId="0" borderId="0" xfId="1" applyNumberFormat="1" applyFont="1" applyProtection="1"/>
    <xf numFmtId="164" fontId="4" fillId="0" borderId="1" xfId="2" quotePrefix="1" applyNumberFormat="1" applyFont="1" applyBorder="1" applyAlignment="1">
      <alignment horizontal="left" vertical="center" indent="1"/>
    </xf>
    <xf numFmtId="3" fontId="4" fillId="0" borderId="1" xfId="2" applyNumberFormat="1" applyFont="1" applyBorder="1" applyAlignment="1">
      <alignment horizontal="right" vertical="center" indent="1"/>
    </xf>
    <xf numFmtId="164" fontId="4" fillId="4" borderId="0" xfId="2" quotePrefix="1" applyNumberFormat="1" applyFont="1" applyFill="1" applyAlignment="1">
      <alignment horizontal="left" vertical="center" indent="1"/>
    </xf>
    <xf numFmtId="3" fontId="4" fillId="4" borderId="0" xfId="2" applyNumberFormat="1" applyFont="1" applyFill="1" applyAlignment="1">
      <alignment horizontal="right" vertical="center" indent="1"/>
    </xf>
    <xf numFmtId="164" fontId="7" fillId="0" borderId="0" xfId="2" quotePrefix="1" applyNumberFormat="1" applyFont="1" applyAlignment="1">
      <alignment horizontal="left" vertical="center" indent="1"/>
    </xf>
    <xf numFmtId="164" fontId="7" fillId="2" borderId="0" xfId="2" quotePrefix="1" applyNumberFormat="1" applyFont="1" applyFill="1" applyAlignment="1">
      <alignment horizontal="left" vertical="center" indent="1"/>
    </xf>
    <xf numFmtId="3" fontId="7" fillId="2" borderId="0" xfId="2" applyNumberFormat="1" applyFont="1" applyFill="1" applyAlignment="1">
      <alignment horizontal="right" vertical="center" indent="1"/>
    </xf>
    <xf numFmtId="166" fontId="6" fillId="2" borderId="0" xfId="10" applyNumberFormat="1" applyFont="1" applyFill="1" applyBorder="1" applyAlignment="1" applyProtection="1">
      <alignment horizontal="right" vertical="center"/>
    </xf>
    <xf numFmtId="3" fontId="6" fillId="2" borderId="0" xfId="2" applyNumberFormat="1" applyFont="1" applyFill="1" applyAlignment="1">
      <alignment horizontal="right"/>
    </xf>
    <xf numFmtId="165" fontId="21" fillId="2" borderId="5" xfId="2" applyNumberFormat="1" applyFont="1" applyFill="1" applyBorder="1" applyAlignment="1">
      <alignment horizontal="right" vertical="center" indent="1"/>
    </xf>
    <xf numFmtId="0" fontId="11" fillId="0" borderId="0" xfId="0" applyFont="1" applyAlignment="1">
      <alignment horizontal="left" indent="1"/>
    </xf>
    <xf numFmtId="168" fontId="11" fillId="0" borderId="0" xfId="1" applyNumberFormat="1" applyFont="1" applyProtection="1"/>
    <xf numFmtId="9" fontId="11" fillId="0" borderId="0" xfId="1" applyFont="1" applyProtection="1"/>
    <xf numFmtId="164" fontId="22" fillId="2" borderId="5" xfId="2" applyNumberFormat="1" applyFont="1" applyFill="1" applyBorder="1" applyAlignment="1">
      <alignment horizontal="left" vertical="center" indent="1"/>
    </xf>
    <xf numFmtId="0" fontId="19" fillId="3" borderId="0" xfId="2" applyFont="1" applyFill="1" applyAlignment="1">
      <alignment horizontal="left" vertical="center"/>
    </xf>
  </cellXfs>
  <cellStyles count="27">
    <cellStyle name="Comma 13 2 2" xfId="16" xr:uid="{895990B1-CDEB-4FB3-99A2-B84833ADF318}"/>
    <cellStyle name="Hipervínculo 2" xfId="22" xr:uid="{1C9605D0-2F64-4EA7-9C5A-D831DB904486}"/>
    <cellStyle name="Millares" xfId="10" builtinId="3"/>
    <cellStyle name="Millares [0] 2" xfId="18" xr:uid="{58BCF92D-9BD8-4B6E-87EF-475FF878DDB6}"/>
    <cellStyle name="Millares 2" xfId="7" xr:uid="{00000000-0005-0000-0000-000001000000}"/>
    <cellStyle name="Millares 2 2" xfId="14" xr:uid="{95000B3D-BC1B-4C97-935B-F792311857F8}"/>
    <cellStyle name="Millares 2 6" xfId="20" xr:uid="{CED0B532-DDB0-43B6-A0D0-8D1DBBE5B248}"/>
    <cellStyle name="Millares 25" xfId="25" xr:uid="{76ED13D9-CD13-4237-A655-83D6641FAF72}"/>
    <cellStyle name="Millares 3" xfId="11" xr:uid="{DA2E5965-4256-4F36-A480-DE97527EA5F7}"/>
    <cellStyle name="Millares 4" xfId="13" xr:uid="{E1447170-6EE5-41D2-B97F-DF66B8B123F7}"/>
    <cellStyle name="Millares 5" xfId="6" xr:uid="{00000000-0005-0000-0000-000002000000}"/>
    <cellStyle name="Moneda [0] 2" xfId="17" xr:uid="{A8291E99-7D2E-4216-BB0A-1E2778458A24}"/>
    <cellStyle name="Normal" xfId="0" builtinId="0"/>
    <cellStyle name="Normal 12" xfId="19" xr:uid="{D201F3E9-D3AC-40BC-A6C7-AF598FFD2B9B}"/>
    <cellStyle name="Normal 13" xfId="24" xr:uid="{278B23AD-1B50-45D5-9D0C-401EE987B86D}"/>
    <cellStyle name="Normal 2" xfId="2" xr:uid="{00000000-0005-0000-0000-000004000000}"/>
    <cellStyle name="Normal 2 2" xfId="12" xr:uid="{6C1DEA81-09DB-48C8-85D6-B786F8A57FD1}"/>
    <cellStyle name="Normal 2 2 2" xfId="3" xr:uid="{00000000-0005-0000-0000-000005000000}"/>
    <cellStyle name="Normal 3" xfId="21" xr:uid="{08A5821E-E430-4AA8-8E89-AD230F66DB06}"/>
    <cellStyle name="Normal 4" xfId="5" xr:uid="{00000000-0005-0000-0000-000006000000}"/>
    <cellStyle name="Normal 5 2 2" xfId="4" xr:uid="{00000000-0005-0000-0000-000007000000}"/>
    <cellStyle name="Normal 5 2 3" xfId="9" xr:uid="{00000000-0005-0000-0000-000008000000}"/>
    <cellStyle name="Porcentaje" xfId="1" builtinId="5"/>
    <cellStyle name="Porcentaje 2" xfId="8" xr:uid="{00000000-0005-0000-0000-00000A000000}"/>
    <cellStyle name="Porcentaje 3" xfId="15" xr:uid="{80023629-CC22-4691-BEBF-F95D479E2788}"/>
    <cellStyle name="Porcentaje 4" xfId="23" xr:uid="{0CC04792-0819-407D-BCFD-328A5D467DA5}"/>
    <cellStyle name="Porcentaje 6" xfId="26" xr:uid="{2A26AFFA-96ED-48CB-97A4-C01E4CFF8DAC}"/>
  </cellStyles>
  <dxfs count="1">
    <dxf>
      <font>
        <color rgb="FFC00000"/>
      </font>
    </dxf>
  </dxfs>
  <tableStyles count="0" defaultTableStyle="TableStyleMedium2" defaultPivotStyle="PivotStyleLight16"/>
  <colors>
    <mruColors>
      <color rgb="FFD7E7F5"/>
      <color rgb="FF006860"/>
      <color rgb="FFFFFFCC"/>
      <color rgb="FFFFFF66"/>
      <color rgb="FFCCFFCC"/>
      <color rgb="FFE26714"/>
      <color rgb="FF3967B9"/>
      <color rgb="FF765A00"/>
      <color rgb="FF9E7800"/>
      <color rgb="FFB48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BG">
    <tabColor theme="0" tint="-0.499984740745262"/>
    <pageSetUpPr fitToPage="1"/>
  </sheetPr>
  <dimension ref="A1:J58"/>
  <sheetViews>
    <sheetView showGridLines="0" tabSelected="1" zoomScale="115" zoomScaleNormal="115" workbookViewId="0">
      <selection activeCell="F14" sqref="F14"/>
    </sheetView>
  </sheetViews>
  <sheetFormatPr baseColWidth="10" defaultColWidth="0" defaultRowHeight="13.8"/>
  <cols>
    <col min="1" max="1" width="36" style="54" customWidth="1"/>
    <col min="2" max="4" width="11.33203125" style="34" customWidth="1"/>
    <col min="5" max="5" width="8.88671875" style="34" customWidth="1"/>
    <col min="6" max="6" width="12.77734375" style="34" bestFit="1" customWidth="1"/>
    <col min="7" max="7" width="10.88671875" style="34" customWidth="1"/>
    <col min="8" max="9" width="9.33203125" style="34" customWidth="1"/>
    <col min="10" max="10" width="15.77734375" style="34" bestFit="1" customWidth="1"/>
    <col min="11" max="18" width="11.44140625" style="34" customWidth="1"/>
    <col min="19" max="19" width="9.6640625" style="34" customWidth="1"/>
    <col min="20" max="20" width="3.33203125" style="34" customWidth="1"/>
    <col min="21" max="21" width="4.109375" style="34" customWidth="1"/>
    <col min="22" max="32" width="11.44140625" style="34" customWidth="1"/>
    <col min="33" max="33" width="21.6640625" style="34" customWidth="1"/>
    <col min="34" max="34" width="12.33203125" style="34" customWidth="1"/>
    <col min="35" max="35" width="12.109375" style="34" customWidth="1"/>
    <col min="36" max="36" width="12.33203125" style="34" customWidth="1"/>
    <col min="37" max="42" width="12.109375" style="34" customWidth="1"/>
    <col min="43" max="16377" width="11.44140625" style="34" customWidth="1"/>
    <col min="16378" max="16384" width="2.5546875" style="34" customWidth="1"/>
  </cols>
  <sheetData>
    <row r="1" spans="1:9" ht="18" customHeight="1">
      <c r="A1" s="32" t="s">
        <v>0</v>
      </c>
      <c r="B1" s="7"/>
      <c r="C1" s="7"/>
      <c r="D1" s="8"/>
      <c r="E1" s="33"/>
      <c r="F1" s="33"/>
    </row>
    <row r="2" spans="1:9" ht="18" customHeight="1" thickBot="1">
      <c r="A2" s="10"/>
      <c r="B2" s="11">
        <v>45291</v>
      </c>
      <c r="C2" s="11">
        <v>45657</v>
      </c>
      <c r="D2" s="11">
        <v>46022</v>
      </c>
      <c r="E2" s="35"/>
      <c r="F2" s="35"/>
    </row>
    <row r="3" spans="1:9" ht="15" customHeight="1">
      <c r="A3" s="24" t="s">
        <v>1</v>
      </c>
      <c r="B3" s="36"/>
      <c r="C3" s="36"/>
      <c r="D3" s="36"/>
      <c r="E3" s="35"/>
      <c r="F3" s="35"/>
    </row>
    <row r="4" spans="1:9" ht="15" customHeight="1">
      <c r="A4" s="13" t="s">
        <v>54</v>
      </c>
      <c r="B4" s="14"/>
      <c r="C4" s="14"/>
      <c r="D4" s="14"/>
      <c r="E4" s="37"/>
      <c r="F4" s="38"/>
      <c r="G4" s="38"/>
      <c r="H4" s="39"/>
    </row>
    <row r="5" spans="1:9" ht="15" customHeight="1">
      <c r="A5" s="13" t="s">
        <v>18</v>
      </c>
      <c r="B5" s="14"/>
      <c r="C5" s="14"/>
      <c r="D5" s="14"/>
      <c r="E5" s="37"/>
      <c r="F5" s="38"/>
      <c r="G5" s="38"/>
      <c r="H5" s="39"/>
      <c r="I5" s="39"/>
    </row>
    <row r="6" spans="1:9" ht="15" customHeight="1">
      <c r="A6" s="13" t="s">
        <v>8</v>
      </c>
      <c r="B6" s="14"/>
      <c r="C6" s="14"/>
      <c r="D6" s="14"/>
      <c r="E6" s="37"/>
      <c r="F6" s="38"/>
      <c r="G6" s="38"/>
      <c r="H6" s="39"/>
    </row>
    <row r="7" spans="1:9" ht="15" customHeight="1">
      <c r="A7" s="13" t="s">
        <v>27</v>
      </c>
      <c r="B7" s="14"/>
      <c r="C7" s="14"/>
      <c r="D7" s="14"/>
      <c r="E7" s="37"/>
      <c r="F7" s="38"/>
      <c r="G7" s="38"/>
      <c r="H7" s="39"/>
    </row>
    <row r="8" spans="1:9" ht="15" customHeight="1">
      <c r="A8" s="13" t="s">
        <v>31</v>
      </c>
      <c r="B8" s="14"/>
      <c r="C8" s="14"/>
      <c r="D8" s="14"/>
      <c r="E8" s="37"/>
      <c r="F8" s="38"/>
      <c r="G8" s="38"/>
      <c r="H8" s="39"/>
    </row>
    <row r="9" spans="1:9" ht="15" customHeight="1">
      <c r="A9" s="13" t="s">
        <v>2</v>
      </c>
      <c r="B9" s="14"/>
      <c r="C9" s="14"/>
      <c r="D9" s="14"/>
      <c r="E9" s="37"/>
      <c r="F9" s="38"/>
      <c r="G9" s="38"/>
      <c r="H9" s="39"/>
    </row>
    <row r="10" spans="1:9" ht="15" customHeight="1">
      <c r="A10" s="40" t="s">
        <v>28</v>
      </c>
      <c r="B10" s="41"/>
      <c r="C10" s="41"/>
      <c r="D10" s="41"/>
      <c r="E10" s="37"/>
      <c r="F10" s="38"/>
      <c r="G10" s="38"/>
      <c r="H10" s="39"/>
    </row>
    <row r="11" spans="1:9" ht="15" customHeight="1">
      <c r="A11" s="42" t="s">
        <v>10</v>
      </c>
      <c r="B11" s="25">
        <f>SUM(B4:B10)</f>
        <v>0</v>
      </c>
      <c r="C11" s="25">
        <f>SUM(C4:C10)</f>
        <v>0</v>
      </c>
      <c r="D11" s="25">
        <f>SUM(D4:D10)</f>
        <v>0</v>
      </c>
      <c r="E11" s="37"/>
      <c r="F11" s="38"/>
      <c r="G11" s="38"/>
      <c r="H11" s="39"/>
    </row>
    <row r="12" spans="1:9" ht="15" customHeight="1">
      <c r="A12" s="13" t="s">
        <v>23</v>
      </c>
      <c r="B12" s="14"/>
      <c r="C12" s="14"/>
      <c r="D12" s="14"/>
      <c r="E12" s="37"/>
      <c r="F12" s="38"/>
      <c r="G12" s="38"/>
      <c r="H12" s="39"/>
      <c r="I12" s="43"/>
    </row>
    <row r="13" spans="1:9" ht="15" customHeight="1">
      <c r="A13" s="13" t="s">
        <v>32</v>
      </c>
      <c r="B13" s="14"/>
      <c r="C13" s="14"/>
      <c r="D13" s="14"/>
      <c r="E13" s="37"/>
      <c r="F13" s="38"/>
      <c r="G13" s="38"/>
      <c r="H13" s="39"/>
    </row>
    <row r="14" spans="1:9" ht="15" customHeight="1">
      <c r="A14" s="13" t="s">
        <v>53</v>
      </c>
      <c r="B14" s="14"/>
      <c r="C14" s="14"/>
      <c r="D14" s="14"/>
      <c r="E14" s="37"/>
      <c r="F14" s="38"/>
      <c r="G14" s="38"/>
      <c r="H14" s="39"/>
    </row>
    <row r="15" spans="1:9" ht="15" customHeight="1">
      <c r="A15" s="13" t="s">
        <v>29</v>
      </c>
      <c r="B15" s="14"/>
      <c r="C15" s="14"/>
      <c r="D15" s="14"/>
      <c r="E15" s="37"/>
      <c r="F15" s="38"/>
      <c r="G15" s="38"/>
      <c r="H15" s="39"/>
    </row>
    <row r="16" spans="1:9" ht="15" customHeight="1">
      <c r="A16" s="44" t="s">
        <v>12</v>
      </c>
      <c r="B16" s="45">
        <f>SUM(B12:B15)</f>
        <v>0</v>
      </c>
      <c r="C16" s="45">
        <f>SUM(C12:C15)</f>
        <v>0</v>
      </c>
      <c r="D16" s="45">
        <f>SUM(D12:D15)</f>
        <v>0</v>
      </c>
      <c r="E16" s="37"/>
      <c r="F16" s="38"/>
      <c r="G16" s="38"/>
      <c r="H16" s="39"/>
    </row>
    <row r="17" spans="1:10" ht="15" customHeight="1">
      <c r="A17" s="46" t="s">
        <v>24</v>
      </c>
      <c r="B17" s="47">
        <f>+B16+B11</f>
        <v>0</v>
      </c>
      <c r="C17" s="47">
        <f>+C16+C11</f>
        <v>0</v>
      </c>
      <c r="D17" s="47">
        <f>+D16+D11</f>
        <v>0</v>
      </c>
      <c r="E17" s="37"/>
      <c r="F17" s="38"/>
      <c r="G17" s="38"/>
      <c r="H17" s="39"/>
      <c r="J17" s="39"/>
    </row>
    <row r="18" spans="1:10" ht="12" customHeight="1">
      <c r="A18" s="48"/>
      <c r="B18" s="50"/>
      <c r="C18" s="50"/>
      <c r="D18" s="50"/>
      <c r="E18" s="37"/>
      <c r="F18" s="38"/>
    </row>
    <row r="19" spans="1:10" ht="15" customHeight="1">
      <c r="A19" s="24" t="s">
        <v>3</v>
      </c>
      <c r="B19" s="51"/>
      <c r="C19" s="51"/>
      <c r="D19" s="51"/>
      <c r="E19" s="37"/>
      <c r="F19" s="38"/>
    </row>
    <row r="20" spans="1:10" ht="15" customHeight="1">
      <c r="A20" s="13" t="s">
        <v>33</v>
      </c>
      <c r="B20" s="14"/>
      <c r="C20" s="14"/>
      <c r="D20" s="14"/>
      <c r="E20" s="37"/>
      <c r="F20" s="38"/>
      <c r="G20" s="38"/>
      <c r="H20" s="39"/>
    </row>
    <row r="21" spans="1:10" ht="15" customHeight="1">
      <c r="A21" s="13" t="s">
        <v>34</v>
      </c>
      <c r="B21" s="14"/>
      <c r="C21" s="14"/>
      <c r="D21" s="14"/>
      <c r="E21" s="37"/>
      <c r="F21" s="38"/>
      <c r="G21" s="38"/>
      <c r="H21" s="39"/>
    </row>
    <row r="22" spans="1:10" ht="15" customHeight="1">
      <c r="A22" s="13" t="s">
        <v>58</v>
      </c>
      <c r="B22" s="14"/>
      <c r="C22" s="14"/>
      <c r="D22" s="14"/>
      <c r="E22" s="37"/>
      <c r="F22" s="38"/>
      <c r="G22" s="38"/>
      <c r="H22" s="39"/>
      <c r="I22" s="39"/>
    </row>
    <row r="23" spans="1:10" ht="15" customHeight="1">
      <c r="A23" s="13" t="s">
        <v>30</v>
      </c>
      <c r="B23" s="14"/>
      <c r="C23" s="14"/>
      <c r="D23" s="14"/>
      <c r="E23" s="37"/>
      <c r="F23" s="38"/>
      <c r="G23" s="38"/>
      <c r="H23" s="39"/>
    </row>
    <row r="24" spans="1:10" ht="15" customHeight="1">
      <c r="A24" s="13" t="s">
        <v>20</v>
      </c>
      <c r="B24" s="14"/>
      <c r="C24" s="14"/>
      <c r="D24" s="14"/>
      <c r="E24" s="37"/>
      <c r="F24" s="38"/>
      <c r="G24" s="38"/>
      <c r="H24" s="39"/>
    </row>
    <row r="25" spans="1:10" ht="15" customHeight="1">
      <c r="A25" s="13" t="s">
        <v>21</v>
      </c>
      <c r="B25" s="14"/>
      <c r="C25" s="14"/>
      <c r="D25" s="14"/>
      <c r="E25" s="37"/>
      <c r="F25" s="38"/>
      <c r="G25" s="38"/>
      <c r="H25" s="39"/>
      <c r="J25" s="39"/>
    </row>
    <row r="26" spans="1:10" ht="15" customHeight="1">
      <c r="A26" s="40" t="s">
        <v>56</v>
      </c>
      <c r="B26" s="41"/>
      <c r="C26" s="41"/>
      <c r="D26" s="41"/>
      <c r="E26" s="37"/>
      <c r="F26" s="38"/>
      <c r="G26" s="38"/>
      <c r="H26" s="39"/>
      <c r="J26" s="39"/>
    </row>
    <row r="27" spans="1:10" ht="15" customHeight="1">
      <c r="A27" s="42" t="s">
        <v>9</v>
      </c>
      <c r="B27" s="25">
        <f>SUM(B20:B26)</f>
        <v>0</v>
      </c>
      <c r="C27" s="25">
        <f>SUM(C20:C26)</f>
        <v>0</v>
      </c>
      <c r="D27" s="25">
        <f>SUM(D20:D26)</f>
        <v>0</v>
      </c>
      <c r="E27" s="37"/>
      <c r="F27" s="38"/>
      <c r="G27" s="38"/>
      <c r="H27" s="39"/>
      <c r="J27" s="39"/>
    </row>
    <row r="28" spans="1:10" ht="15" customHeight="1">
      <c r="A28" s="13" t="s">
        <v>35</v>
      </c>
      <c r="B28" s="14"/>
      <c r="C28" s="14"/>
      <c r="D28" s="14"/>
      <c r="E28" s="37"/>
      <c r="F28" s="38"/>
      <c r="G28" s="38"/>
      <c r="H28" s="39"/>
    </row>
    <row r="29" spans="1:10" ht="15" customHeight="1">
      <c r="A29" s="13" t="s">
        <v>42</v>
      </c>
      <c r="B29" s="14"/>
      <c r="C29" s="14"/>
      <c r="D29" s="14"/>
      <c r="E29" s="37"/>
      <c r="F29" s="38"/>
      <c r="G29" s="38"/>
      <c r="H29" s="39"/>
    </row>
    <row r="30" spans="1:10" ht="15" customHeight="1">
      <c r="A30" s="13" t="s">
        <v>36</v>
      </c>
      <c r="B30" s="14"/>
      <c r="C30" s="14"/>
      <c r="D30" s="14"/>
      <c r="E30" s="37"/>
      <c r="F30" s="38"/>
      <c r="G30" s="38"/>
      <c r="H30" s="39"/>
    </row>
    <row r="31" spans="1:10" ht="15" customHeight="1">
      <c r="A31" s="13" t="s">
        <v>37</v>
      </c>
      <c r="B31" s="14"/>
      <c r="C31" s="14"/>
      <c r="D31" s="14"/>
      <c r="E31" s="37"/>
      <c r="F31" s="38"/>
      <c r="G31" s="38"/>
      <c r="H31" s="39"/>
    </row>
    <row r="32" spans="1:10" ht="15" customHeight="1">
      <c r="A32" s="44" t="s">
        <v>11</v>
      </c>
      <c r="B32" s="45">
        <f>SUM(B28:B31)</f>
        <v>0</v>
      </c>
      <c r="C32" s="45">
        <f>SUM(C28:C31)</f>
        <v>0</v>
      </c>
      <c r="D32" s="45">
        <f>SUM(D28:D31)</f>
        <v>0</v>
      </c>
      <c r="E32" s="37"/>
      <c r="F32" s="38"/>
      <c r="G32" s="38"/>
      <c r="H32" s="39"/>
    </row>
    <row r="33" spans="1:10" ht="15" customHeight="1">
      <c r="A33" s="42" t="s">
        <v>25</v>
      </c>
      <c r="B33" s="25">
        <f>+B32+B27</f>
        <v>0</v>
      </c>
      <c r="C33" s="25">
        <f>+C32+C27</f>
        <v>0</v>
      </c>
      <c r="D33" s="25">
        <f>+D32+D27</f>
        <v>0</v>
      </c>
      <c r="E33" s="37"/>
      <c r="F33" s="38"/>
      <c r="G33" s="38"/>
      <c r="H33" s="39"/>
    </row>
    <row r="34" spans="1:10" ht="12" customHeight="1">
      <c r="A34" s="48"/>
      <c r="B34" s="50"/>
      <c r="C34" s="50"/>
      <c r="D34" s="50"/>
      <c r="E34" s="37"/>
      <c r="F34" s="38"/>
    </row>
    <row r="35" spans="1:10" ht="18" customHeight="1">
      <c r="A35" s="24" t="s">
        <v>4</v>
      </c>
      <c r="B35" s="52"/>
      <c r="C35" s="52"/>
      <c r="D35" s="52"/>
      <c r="E35" s="37"/>
      <c r="F35" s="38"/>
    </row>
    <row r="36" spans="1:10" ht="15" customHeight="1">
      <c r="A36" s="13" t="s">
        <v>38</v>
      </c>
      <c r="B36" s="14"/>
      <c r="C36" s="14"/>
      <c r="D36" s="14"/>
      <c r="E36" s="37"/>
      <c r="F36" s="38"/>
      <c r="G36" s="38"/>
      <c r="H36" s="39"/>
    </row>
    <row r="37" spans="1:10" ht="15" customHeight="1">
      <c r="A37" s="13" t="s">
        <v>5</v>
      </c>
      <c r="B37" s="14"/>
      <c r="C37" s="14"/>
      <c r="D37" s="14"/>
      <c r="E37" s="37"/>
      <c r="F37" s="38"/>
      <c r="G37" s="38"/>
      <c r="H37" s="39"/>
    </row>
    <row r="38" spans="1:10" ht="15" customHeight="1">
      <c r="A38" s="13" t="s">
        <v>15</v>
      </c>
      <c r="B38" s="14"/>
      <c r="C38" s="14"/>
      <c r="D38" s="14"/>
      <c r="E38" s="37"/>
      <c r="F38" s="38"/>
      <c r="G38" s="38"/>
      <c r="H38" s="39"/>
    </row>
    <row r="39" spans="1:10" ht="15" customHeight="1">
      <c r="A39" s="13" t="s">
        <v>39</v>
      </c>
      <c r="B39" s="14"/>
      <c r="C39" s="14"/>
      <c r="D39" s="14"/>
      <c r="E39" s="37"/>
      <c r="F39" s="38"/>
      <c r="G39" s="38"/>
      <c r="H39" s="39"/>
    </row>
    <row r="40" spans="1:10" ht="15" customHeight="1">
      <c r="A40" s="13" t="s">
        <v>40</v>
      </c>
      <c r="B40" s="14"/>
      <c r="C40" s="14"/>
      <c r="D40" s="14"/>
      <c r="E40" s="37"/>
      <c r="F40" s="38"/>
      <c r="G40" s="38"/>
      <c r="H40" s="39"/>
    </row>
    <row r="41" spans="1:10" ht="15" customHeight="1">
      <c r="A41" s="40" t="s">
        <v>41</v>
      </c>
      <c r="B41" s="41"/>
      <c r="C41" s="41"/>
      <c r="D41" s="41"/>
      <c r="E41" s="37"/>
      <c r="F41" s="38"/>
      <c r="G41" s="38"/>
      <c r="H41" s="39"/>
    </row>
    <row r="42" spans="1:10" ht="15" customHeight="1">
      <c r="A42" s="42" t="s">
        <v>26</v>
      </c>
      <c r="B42" s="25">
        <f>SUM(B36:B41)</f>
        <v>0</v>
      </c>
      <c r="C42" s="25">
        <f>SUM(C36:C41)</f>
        <v>0</v>
      </c>
      <c r="D42" s="25">
        <f>SUM(D36:D41)</f>
        <v>0</v>
      </c>
      <c r="E42" s="37"/>
      <c r="F42" s="38"/>
      <c r="G42" s="38"/>
      <c r="H42" s="39"/>
      <c r="J42" s="39"/>
    </row>
    <row r="43" spans="1:10" ht="12" customHeight="1">
      <c r="A43" s="42"/>
      <c r="B43" s="25"/>
      <c r="C43" s="25"/>
      <c r="D43" s="25"/>
      <c r="E43" s="37"/>
      <c r="F43" s="38"/>
    </row>
    <row r="44" spans="1:10" ht="15" customHeight="1">
      <c r="A44" s="46" t="s">
        <v>6</v>
      </c>
      <c r="B44" s="47">
        <f>+B42+B33</f>
        <v>0</v>
      </c>
      <c r="C44" s="47">
        <f>+C42+C33</f>
        <v>0</v>
      </c>
      <c r="D44" s="47">
        <f>+D42+D33</f>
        <v>0</v>
      </c>
      <c r="E44" s="37"/>
      <c r="F44" s="38"/>
    </row>
    <row r="45" spans="1:10" ht="8.4" customHeight="1">
      <c r="A45" s="49"/>
      <c r="B45" s="50"/>
      <c r="C45" s="50"/>
      <c r="D45" s="50"/>
    </row>
    <row r="46" spans="1:10" ht="15" customHeight="1">
      <c r="A46" s="57" t="s">
        <v>57</v>
      </c>
      <c r="B46" s="53">
        <f>ROUND(+B17-B44,0)</f>
        <v>0</v>
      </c>
      <c r="C46" s="53">
        <f>ROUND(+C17-C44,0)</f>
        <v>0</v>
      </c>
      <c r="D46" s="53">
        <f>ROUND(+D17-D44,0)</f>
        <v>0</v>
      </c>
    </row>
    <row r="48" spans="1:10">
      <c r="B48" s="55"/>
      <c r="C48" s="55"/>
      <c r="D48" s="55"/>
    </row>
    <row r="50" spans="1:4">
      <c r="B50" s="55"/>
      <c r="C50" s="55"/>
      <c r="D50" s="55"/>
    </row>
    <row r="51" spans="1:4">
      <c r="D51" s="56"/>
    </row>
    <row r="58" spans="1:4">
      <c r="A58" s="54" t="s">
        <v>17</v>
      </c>
    </row>
  </sheetData>
  <sheetProtection formatCells="0" formatColumns="0" formatRows="0" autoFilter="0" pivotTables="0"/>
  <conditionalFormatting sqref="B46:D46">
    <cfRule type="expression" dxfId="0" priority="1">
      <formula>B46&lt;&gt;0</formula>
    </cfRule>
  </conditionalFormatting>
  <pageMargins left="0.23622047244094491" right="0.23622047244094491" top="0.23622047244094491" bottom="0.23622047244094491" header="0.11811023622047245" footer="0.11811023622047245"/>
  <pageSetup scale="64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EERR">
    <tabColor theme="0" tint="-0.499984740745262"/>
    <pageSetUpPr fitToPage="1"/>
  </sheetPr>
  <dimension ref="A1:E28"/>
  <sheetViews>
    <sheetView showGridLines="0" zoomScale="115" zoomScaleNormal="115" workbookViewId="0">
      <selection activeCell="H18" sqref="H18"/>
    </sheetView>
  </sheetViews>
  <sheetFormatPr baseColWidth="10" defaultColWidth="11.5546875" defaultRowHeight="14.4"/>
  <cols>
    <col min="1" max="1" width="31" customWidth="1"/>
    <col min="2" max="4" width="12" customWidth="1"/>
    <col min="5" max="5" width="5.5546875" customWidth="1"/>
    <col min="6" max="7" width="3.77734375" customWidth="1"/>
    <col min="8" max="15" width="11.5546875" customWidth="1"/>
    <col min="16" max="32" width="11.44140625" customWidth="1"/>
  </cols>
  <sheetData>
    <row r="1" spans="1:5" ht="24.9" customHeight="1">
      <c r="A1" s="58" t="s">
        <v>7</v>
      </c>
      <c r="B1" s="7"/>
      <c r="C1" s="7"/>
      <c r="D1" s="8"/>
      <c r="E1" s="9"/>
    </row>
    <row r="2" spans="1:5" ht="15" customHeight="1" thickBot="1">
      <c r="A2" s="10"/>
      <c r="B2" s="11">
        <v>45291</v>
      </c>
      <c r="C2" s="11">
        <v>45657</v>
      </c>
      <c r="D2" s="11">
        <v>46022</v>
      </c>
      <c r="E2" s="12"/>
    </row>
    <row r="3" spans="1:5" ht="15" customHeight="1">
      <c r="A3" s="13" t="s">
        <v>22</v>
      </c>
      <c r="B3" s="14"/>
      <c r="C3" s="14"/>
      <c r="D3" s="14"/>
      <c r="E3" s="6"/>
    </row>
    <row r="4" spans="1:5" ht="15" customHeight="1">
      <c r="A4" s="15" t="s">
        <v>13</v>
      </c>
      <c r="B4" s="16">
        <f>SUM(B3:B3)</f>
        <v>0</v>
      </c>
      <c r="C4" s="16">
        <f>SUM(C3:C3)</f>
        <v>0</v>
      </c>
      <c r="D4" s="16">
        <f>SUM(D3:D3)</f>
        <v>0</v>
      </c>
      <c r="E4" s="6"/>
    </row>
    <row r="5" spans="1:5" ht="15" customHeight="1">
      <c r="A5" s="13" t="s">
        <v>52</v>
      </c>
      <c r="B5" s="14"/>
      <c r="C5" s="14"/>
      <c r="D5" s="14"/>
      <c r="E5" s="6"/>
    </row>
    <row r="6" spans="1:5" ht="15" customHeight="1">
      <c r="A6" s="17" t="s">
        <v>19</v>
      </c>
      <c r="B6" s="18">
        <f>+B5</f>
        <v>0</v>
      </c>
      <c r="C6" s="18">
        <f>+C5</f>
        <v>0</v>
      </c>
      <c r="D6" s="18">
        <f>+D5</f>
        <v>0</v>
      </c>
      <c r="E6" s="6"/>
    </row>
    <row r="7" spans="1:5" ht="15" customHeight="1">
      <c r="A7" s="19" t="s">
        <v>43</v>
      </c>
      <c r="B7" s="20">
        <f>+B4+B6</f>
        <v>0</v>
      </c>
      <c r="C7" s="20">
        <f>+C4+C6</f>
        <v>0</v>
      </c>
      <c r="D7" s="20">
        <f>+D4+D6</f>
        <v>0</v>
      </c>
      <c r="E7" s="6"/>
    </row>
    <row r="8" spans="1:5" ht="15" customHeight="1">
      <c r="A8" s="13" t="s">
        <v>47</v>
      </c>
      <c r="B8" s="14"/>
      <c r="C8" s="14"/>
      <c r="D8" s="14"/>
      <c r="E8" s="6"/>
    </row>
    <row r="9" spans="1:5" ht="15" customHeight="1">
      <c r="A9" s="13" t="s">
        <v>48</v>
      </c>
      <c r="B9" s="14"/>
      <c r="C9" s="14"/>
      <c r="D9" s="14"/>
      <c r="E9" s="6"/>
    </row>
    <row r="10" spans="1:5" ht="15" customHeight="1">
      <c r="A10" s="15" t="s">
        <v>14</v>
      </c>
      <c r="B10" s="16">
        <f>+B7+SUM(B8:B9)</f>
        <v>0</v>
      </c>
      <c r="C10" s="16">
        <f t="shared" ref="C10" si="0">+C7+SUM(C8:C9)</f>
        <v>0</v>
      </c>
      <c r="D10" s="16">
        <f t="shared" ref="D10" si="1">+D7+SUM(D8:D9)</f>
        <v>0</v>
      </c>
      <c r="E10" s="6"/>
    </row>
    <row r="11" spans="1:5" ht="15" customHeight="1">
      <c r="A11" s="13" t="s">
        <v>55</v>
      </c>
      <c r="B11" s="14"/>
      <c r="C11" s="14"/>
      <c r="D11" s="14"/>
      <c r="E11" s="6"/>
    </row>
    <row r="12" spans="1:5" ht="15" customHeight="1">
      <c r="A12" s="21" t="s">
        <v>44</v>
      </c>
      <c r="B12" s="22">
        <f>SUM(B10:B11)</f>
        <v>0</v>
      </c>
      <c r="C12" s="22">
        <f>SUM(C10:C11)</f>
        <v>0</v>
      </c>
      <c r="D12" s="22">
        <f>SUM(D10:D11)</f>
        <v>0</v>
      </c>
      <c r="E12" s="6"/>
    </row>
    <row r="13" spans="1:5" ht="15" customHeight="1">
      <c r="A13" s="13" t="s">
        <v>46</v>
      </c>
      <c r="B13" s="14">
        <v>0</v>
      </c>
      <c r="C13" s="14">
        <v>0</v>
      </c>
      <c r="D13" s="14">
        <v>0</v>
      </c>
      <c r="E13" s="6"/>
    </row>
    <row r="14" spans="1:5" ht="15" customHeight="1">
      <c r="A14" s="13" t="s">
        <v>50</v>
      </c>
      <c r="B14" s="14"/>
      <c r="C14" s="14"/>
      <c r="D14" s="14"/>
      <c r="E14" s="6"/>
    </row>
    <row r="15" spans="1:5" ht="15" customHeight="1">
      <c r="A15" s="13" t="s">
        <v>49</v>
      </c>
      <c r="B15" s="14"/>
      <c r="C15" s="14"/>
      <c r="D15" s="14"/>
      <c r="E15" s="6"/>
    </row>
    <row r="16" spans="1:5" ht="15" customHeight="1">
      <c r="A16" s="21" t="s">
        <v>16</v>
      </c>
      <c r="B16" s="22">
        <f>+B12+SUM(B13:B15)</f>
        <v>0</v>
      </c>
      <c r="C16" s="22">
        <f t="shared" ref="C16:D16" si="2">+C12+SUM(C13:C15)</f>
        <v>0</v>
      </c>
      <c r="D16" s="22">
        <f t="shared" si="2"/>
        <v>0</v>
      </c>
      <c r="E16" s="6"/>
    </row>
    <row r="17" spans="1:5" ht="15" customHeight="1">
      <c r="A17" s="13" t="s">
        <v>51</v>
      </c>
      <c r="B17" s="14"/>
      <c r="C17" s="14"/>
      <c r="D17" s="14"/>
      <c r="E17" s="6"/>
    </row>
    <row r="18" spans="1:5" ht="15" customHeight="1">
      <c r="A18" s="26" t="s">
        <v>45</v>
      </c>
      <c r="B18" s="27">
        <f>+B16+B17</f>
        <v>0</v>
      </c>
      <c r="C18" s="27">
        <f>+C16+C17</f>
        <v>0</v>
      </c>
      <c r="D18" s="27">
        <f>+D16+D17</f>
        <v>0</v>
      </c>
      <c r="E18" s="23"/>
    </row>
    <row r="19" spans="1:5" ht="15" customHeight="1">
      <c r="E19" s="6"/>
    </row>
    <row r="20" spans="1:5" ht="15" customHeight="1">
      <c r="E20" s="6"/>
    </row>
    <row r="21" spans="1:5" ht="15" customHeight="1">
      <c r="D21" s="1"/>
      <c r="E21" s="6"/>
    </row>
    <row r="22" spans="1:5" s="29" customFormat="1" ht="13.8">
      <c r="A22" s="28"/>
      <c r="B22" s="14"/>
      <c r="C22" s="14"/>
      <c r="D22" s="14"/>
    </row>
    <row r="23" spans="1:5" s="29" customFormat="1" ht="12">
      <c r="A23" s="30"/>
      <c r="B23" s="4"/>
      <c r="C23" s="5"/>
      <c r="D23" s="5"/>
    </row>
    <row r="24" spans="1:5">
      <c r="A24" s="31"/>
      <c r="B24" s="3"/>
      <c r="C24" s="3"/>
      <c r="D24" s="3"/>
    </row>
    <row r="25" spans="1:5">
      <c r="A25" s="31"/>
      <c r="B25" s="3"/>
      <c r="C25" s="3"/>
      <c r="D25" s="3"/>
    </row>
    <row r="26" spans="1:5">
      <c r="A26" s="31"/>
      <c r="B26" s="3"/>
      <c r="C26" s="3"/>
      <c r="D26" s="3"/>
    </row>
    <row r="27" spans="1:5">
      <c r="B27" s="2"/>
      <c r="C27" s="2"/>
      <c r="D27" s="2"/>
    </row>
    <row r="28" spans="1:5">
      <c r="B28" s="2"/>
      <c r="C28" s="2"/>
      <c r="D28" s="2"/>
    </row>
  </sheetData>
  <sheetProtection formatCells="0" formatColumns="0" formatRows="0" autoFilter="0" pivotTables="0"/>
  <pageMargins left="0.23622047244094491" right="0.23622047244094491" top="0.43307086614173229" bottom="0.35433070866141736" header="0.31496062992125984" footer="0.11811023622047245"/>
  <pageSetup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BALANCE</vt:lpstr>
      <vt:lpstr>ESTADO_RESULTADOS</vt:lpstr>
      <vt:lpstr>ESTADO_RESULTADOS!Área_de_impresión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oscar.david.menacho@outlook.com</dc:creator>
  <cp:keywords/>
  <dc:description/>
  <cp:lastModifiedBy>Oscar Menacho</cp:lastModifiedBy>
  <cp:revision/>
  <cp:lastPrinted>2025-12-16T17:48:54Z</cp:lastPrinted>
  <dcterms:created xsi:type="dcterms:W3CDTF">2021-06-05T15:59:45Z</dcterms:created>
  <dcterms:modified xsi:type="dcterms:W3CDTF">2026-01-20T12:07:20Z</dcterms:modified>
  <cp:category/>
  <cp:contentStatus/>
</cp:coreProperties>
</file>